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/>
  <mc:AlternateContent xmlns:mc="http://schemas.openxmlformats.org/markup-compatibility/2006">
    <mc:Choice Requires="x15">
      <x15ac:absPath xmlns:x15ac="http://schemas.microsoft.com/office/spreadsheetml/2010/11/ac" url="/Users/emilyfang/Desktop/clf/healthscore automation/"/>
    </mc:Choice>
  </mc:AlternateContent>
  <xr:revisionPtr revIDLastSave="0" documentId="13_ncr:1_{F7F161F8-F7CA-F844-AE78-BA7CCE1CE175}" xr6:coauthVersionLast="46" xr6:coauthVersionMax="46" xr10:uidLastSave="{00000000-0000-0000-0000-000000000000}"/>
  <bookViews>
    <workbookView xWindow="0" yWindow="460" windowWidth="16360" windowHeight="15940" activeTab="1" xr2:uid="{00000000-000D-0000-FFFF-FFFF00000000}"/>
  </bookViews>
  <sheets>
    <sheet name="HealthScore 2.0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2" l="1"/>
  <c r="E8" i="2"/>
  <c r="C8" i="2"/>
  <c r="D8" i="2"/>
  <c r="F8" i="2"/>
  <c r="G8" i="2" s="1"/>
  <c r="B8" i="2"/>
  <c r="H8" i="2"/>
  <c r="I8" i="2"/>
  <c r="J8" i="2"/>
  <c r="I6" i="2"/>
  <c r="I5" i="2"/>
  <c r="M7" i="1" l="1"/>
  <c r="M8" i="1"/>
  <c r="M9" i="1"/>
  <c r="M10" i="1"/>
  <c r="M11" i="1"/>
  <c r="M12" i="1"/>
  <c r="M6" i="1"/>
  <c r="M19" i="1"/>
  <c r="M20" i="1"/>
  <c r="M18" i="1"/>
  <c r="M31" i="1"/>
  <c r="M28" i="1"/>
  <c r="M27" i="1"/>
  <c r="J28" i="1"/>
  <c r="J31" i="1"/>
  <c r="J27" i="1"/>
  <c r="G28" i="1"/>
  <c r="G31" i="1"/>
  <c r="G27" i="1"/>
  <c r="D28" i="1"/>
  <c r="D31" i="1"/>
  <c r="D27" i="1"/>
  <c r="J7" i="1"/>
  <c r="J8" i="1"/>
  <c r="J9" i="1"/>
  <c r="J10" i="1"/>
  <c r="J11" i="1"/>
  <c r="J12" i="1"/>
  <c r="J6" i="1"/>
  <c r="G6" i="1"/>
  <c r="G12" i="1"/>
  <c r="G19" i="1"/>
  <c r="G20" i="1"/>
  <c r="G18" i="1"/>
  <c r="G7" i="1"/>
  <c r="G8" i="1"/>
  <c r="G9" i="1"/>
  <c r="G10" i="1"/>
  <c r="G11" i="1"/>
  <c r="D7" i="1"/>
  <c r="D8" i="1"/>
  <c r="D9" i="1"/>
  <c r="D10" i="1"/>
  <c r="D11" i="1"/>
  <c r="D12" i="1"/>
  <c r="D6" i="1"/>
</calcChain>
</file>

<file path=xl/sharedStrings.xml><?xml version="1.0" encoding="utf-8"?>
<sst xmlns="http://schemas.openxmlformats.org/spreadsheetml/2006/main" count="79" uniqueCount="43">
  <si>
    <t>Opportunity to Reduce Health Disparities</t>
  </si>
  <si>
    <t>MA25</t>
  </si>
  <si>
    <t>Holbrook421100</t>
  </si>
  <si>
    <t>Holbrook420302</t>
  </si>
  <si>
    <t>Holbrook421200</t>
  </si>
  <si>
    <t>E</t>
  </si>
  <si>
    <t>M</t>
  </si>
  <si>
    <t>Life Expectancy</t>
  </si>
  <si>
    <t>Cancer (excluding skin cancer) among adults &gt;= 18</t>
  </si>
  <si>
    <t>Current asthma among adults &gt;= 18</t>
  </si>
  <si>
    <t>COPD among adults &gt;= 18</t>
  </si>
  <si>
    <t>Coronary heart disease among adults &gt;= 18</t>
  </si>
  <si>
    <t>Diabetes among adults &gt;= 18</t>
  </si>
  <si>
    <t>Stroke among adults &gt;= 18</t>
  </si>
  <si>
    <t>Mental health not good for &gt;= 14 days among adults &gt;= 18</t>
  </si>
  <si>
    <t>Transportation Access and Utilization</t>
  </si>
  <si>
    <t>% Public Transit</t>
  </si>
  <si>
    <t>% Walked</t>
  </si>
  <si>
    <t>% Bicycle</t>
  </si>
  <si>
    <t>Opportunity to Advance Regional Equity</t>
  </si>
  <si>
    <t>Median Household Income</t>
  </si>
  <si>
    <t>Unemployment Rate</t>
  </si>
  <si>
    <t>% with Associates/Bachelors Degree or higher</t>
  </si>
  <si>
    <t>Population of Color (%)</t>
  </si>
  <si>
    <t>% Limited English Households</t>
  </si>
  <si>
    <t>% Neighborhood Renters who are Cost-Burdened</t>
  </si>
  <si>
    <t xml:space="preserve">Poverty Rate </t>
  </si>
  <si>
    <t>n</t>
  </si>
  <si>
    <t>all tracts</t>
  </si>
  <si>
    <t>m</t>
  </si>
  <si>
    <t>e</t>
  </si>
  <si>
    <t>﻿Total with Poverty Data                                               5692.00        7703.00        5329.00   18724.00 6615375.00  0.00</t>
  </si>
  <si>
    <t>Below Poverty Level                                                    365.00         689.00         266.00    1320.00  680962.00  0.00</t>
  </si>
  <si>
    <t>total</t>
  </si>
  <si>
    <t>all</t>
  </si>
  <si>
    <t>state</t>
  </si>
  <si>
    <t>below pov</t>
  </si>
  <si>
    <t>1m</t>
  </si>
  <si>
    <t>2m</t>
  </si>
  <si>
    <t>3m</t>
  </si>
  <si>
    <t>allm</t>
  </si>
  <si>
    <t>statem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</si>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</sst>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2" borderId="0" xfId="0" applyFill="1"/>
    <xf numFmtId="0" fontId="1" fillId="0" borderId="3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32"/>
  <sheetViews>
    <sheetView topLeftCell="A2" zoomScale="99" workbookViewId="0">
      <selection activeCell="B27" sqref="B27:C27"/>
    </sheetView>
  </sheetViews>
  <sheetFormatPr baseColWidth="10" defaultColWidth="8.83203125" defaultRowHeight="15" x14ac:dyDescent="0.2"/>
  <cols>
    <col min="1" max="1" width="52.5" customWidth="1"/>
  </cols>
  <sheetData>
    <row r="1" spans="1:14" x14ac:dyDescent="0.2">
      <c r="A1" t="s">
        <v>0</v>
      </c>
    </row>
    <row r="2" spans="1:14" x14ac:dyDescent="0.2">
      <c r="A2" s="1"/>
      <c r="B2" s="6" t="s">
        <v>1</v>
      </c>
      <c r="C2" s="7"/>
      <c r="D2" s="3"/>
      <c r="E2" s="6" t="s">
        <v>2</v>
      </c>
      <c r="F2" s="7"/>
      <c r="G2" s="3"/>
      <c r="H2" s="6" t="s">
        <v>3</v>
      </c>
      <c r="I2" s="7"/>
      <c r="J2" s="3"/>
      <c r="K2" s="6" t="s">
        <v>4</v>
      </c>
      <c r="L2" s="7"/>
    </row>
    <row r="3" spans="1:14" x14ac:dyDescent="0.2">
      <c r="A3" s="1"/>
      <c r="B3" s="1" t="s">
        <v>5</v>
      </c>
      <c r="C3" s="1" t="s">
        <v>6</v>
      </c>
      <c r="D3" s="2" t="s">
        <v>27</v>
      </c>
      <c r="E3" s="1" t="s">
        <v>5</v>
      </c>
      <c r="F3" s="1" t="s">
        <v>6</v>
      </c>
      <c r="G3" s="2" t="s">
        <v>27</v>
      </c>
      <c r="H3" s="1" t="s">
        <v>5</v>
      </c>
      <c r="I3" s="1" t="s">
        <v>6</v>
      </c>
      <c r="J3" s="2" t="s">
        <v>27</v>
      </c>
      <c r="K3" s="1" t="s">
        <v>5</v>
      </c>
      <c r="L3" s="1" t="s">
        <v>6</v>
      </c>
      <c r="M3" s="5" t="s">
        <v>27</v>
      </c>
    </row>
    <row r="5" spans="1:14" x14ac:dyDescent="0.2">
      <c r="A5" s="1" t="s">
        <v>7</v>
      </c>
      <c r="B5">
        <v>80.7</v>
      </c>
      <c r="C5">
        <v>2.6700000000000002E-2</v>
      </c>
      <c r="E5">
        <v>75.599999999999994</v>
      </c>
      <c r="F5">
        <v>1.4147000000000001</v>
      </c>
      <c r="H5">
        <v>81</v>
      </c>
      <c r="I5">
        <v>1.3229</v>
      </c>
      <c r="K5">
        <v>79.400000000000006</v>
      </c>
      <c r="L5">
        <v>1.6708000000000001</v>
      </c>
    </row>
    <row r="6" spans="1:14" x14ac:dyDescent="0.2">
      <c r="A6" s="1" t="s">
        <v>8</v>
      </c>
      <c r="B6">
        <v>5.8</v>
      </c>
      <c r="C6">
        <v>0.6</v>
      </c>
      <c r="D6">
        <f>(B6/100)*(1-B6/100)/((C6/100)/1.96)^2</f>
        <v>5830.2682666666642</v>
      </c>
      <c r="E6">
        <v>7.1</v>
      </c>
      <c r="F6">
        <v>0.29999999999999982</v>
      </c>
      <c r="G6">
        <f>(E6/100)*(1-E6/100)/((F6/100)/1.96)^2</f>
        <v>28154.232711111137</v>
      </c>
      <c r="H6">
        <v>6.6</v>
      </c>
      <c r="I6">
        <v>0.19999999999999929</v>
      </c>
      <c r="J6">
        <f>(H6/100)*(1-H6/100)/((I6/100)/1.96)^2</f>
        <v>59202.897600000411</v>
      </c>
      <c r="K6">
        <v>7.1</v>
      </c>
      <c r="L6">
        <v>0.29999999999999982</v>
      </c>
      <c r="M6">
        <f>SQRT(F6^2+I6^2+L6^2)</f>
        <v>0.46904157598234247</v>
      </c>
      <c r="N6">
        <v>6.7996412695936979</v>
      </c>
    </row>
    <row r="7" spans="1:14" x14ac:dyDescent="0.2">
      <c r="A7" s="1" t="s">
        <v>9</v>
      </c>
      <c r="B7">
        <v>10.3</v>
      </c>
      <c r="C7">
        <v>1</v>
      </c>
      <c r="D7">
        <f t="shared" ref="D7:D12" si="0">(B7/100)*(1-B7/100)/((C7/100)/1.96)^2</f>
        <v>3549.2926560000001</v>
      </c>
      <c r="E7">
        <v>10.7</v>
      </c>
      <c r="F7">
        <v>0.5</v>
      </c>
      <c r="G7">
        <f t="shared" ref="G7:G11" si="1">(E7/100)*(1-E7/100)/((F7/100)/1.96)^2</f>
        <v>14682.748863999997</v>
      </c>
      <c r="H7">
        <v>11.4</v>
      </c>
      <c r="I7">
        <v>0.40000000000000041</v>
      </c>
      <c r="J7">
        <f t="shared" ref="J7:J12" si="2">(H7/100)*(1-H7/100)/((I7/100)/1.96)^2</f>
        <v>24251.060399999944</v>
      </c>
      <c r="K7">
        <v>10</v>
      </c>
      <c r="L7">
        <v>0.5</v>
      </c>
      <c r="M7">
        <f t="shared" ref="M7:M12" si="3">SQRT(F7^2+I7^2+L7^2)</f>
        <v>0.81240384046359626</v>
      </c>
      <c r="N7">
        <v>11.12050222256882</v>
      </c>
    </row>
    <row r="8" spans="1:14" x14ac:dyDescent="0.2">
      <c r="A8" s="1" t="s">
        <v>10</v>
      </c>
      <c r="B8">
        <v>4.5999999999999996</v>
      </c>
      <c r="C8">
        <v>0.7</v>
      </c>
      <c r="D8">
        <f t="shared" si="0"/>
        <v>3440.5056000000004</v>
      </c>
      <c r="E8">
        <v>6.3</v>
      </c>
      <c r="F8">
        <v>0.79999999999999982</v>
      </c>
      <c r="G8">
        <f t="shared" si="1"/>
        <v>3543.3357750000014</v>
      </c>
      <c r="H8">
        <v>6.4</v>
      </c>
      <c r="I8">
        <v>0.80000000000000071</v>
      </c>
      <c r="J8">
        <f t="shared" si="2"/>
        <v>3595.7375999999936</v>
      </c>
      <c r="K8">
        <v>5.5</v>
      </c>
      <c r="L8">
        <v>0.90000000000000036</v>
      </c>
      <c r="M8">
        <f t="shared" si="3"/>
        <v>1.4456832294800965</v>
      </c>
      <c r="N8">
        <v>6.3600717460812586</v>
      </c>
    </row>
    <row r="9" spans="1:14" x14ac:dyDescent="0.2">
      <c r="A9" s="1" t="s">
        <v>11</v>
      </c>
      <c r="B9">
        <v>3.1</v>
      </c>
      <c r="C9">
        <v>0.5</v>
      </c>
      <c r="D9">
        <f t="shared" si="0"/>
        <v>4615.9128959999989</v>
      </c>
      <c r="E9">
        <v>6.2</v>
      </c>
      <c r="F9">
        <v>0.60000000000000053</v>
      </c>
      <c r="G9">
        <f t="shared" si="1"/>
        <v>6205.8913777777661</v>
      </c>
      <c r="H9">
        <v>6.4</v>
      </c>
      <c r="I9">
        <v>0.5</v>
      </c>
      <c r="J9">
        <f t="shared" si="2"/>
        <v>9205.0882559999991</v>
      </c>
      <c r="K9">
        <v>5.7</v>
      </c>
      <c r="L9">
        <v>0.5</v>
      </c>
      <c r="M9">
        <f t="shared" si="3"/>
        <v>0.92736184954957068</v>
      </c>
      <c r="N9">
        <v>6.3201434921625204</v>
      </c>
    </row>
    <row r="10" spans="1:14" x14ac:dyDescent="0.2">
      <c r="A10" s="1" t="s">
        <v>12</v>
      </c>
      <c r="B10">
        <v>7.7</v>
      </c>
      <c r="C10">
        <v>0.8</v>
      </c>
      <c r="D10">
        <f t="shared" si="0"/>
        <v>4266.0367749999996</v>
      </c>
      <c r="E10">
        <v>9.1</v>
      </c>
      <c r="F10">
        <v>0.69999999999999929</v>
      </c>
      <c r="G10">
        <f t="shared" si="1"/>
        <v>6485.1696000000129</v>
      </c>
      <c r="H10">
        <v>11.4</v>
      </c>
      <c r="I10">
        <v>0.59999999999999964</v>
      </c>
      <c r="J10">
        <f t="shared" si="2"/>
        <v>10778.249066666678</v>
      </c>
      <c r="K10">
        <v>8.1999999999999993</v>
      </c>
      <c r="L10">
        <v>0.69999999999999929</v>
      </c>
      <c r="M10">
        <f t="shared" si="3"/>
        <v>1.1575836902790215</v>
      </c>
      <c r="N10">
        <v>10.48165015986898</v>
      </c>
    </row>
    <row r="11" spans="1:14" x14ac:dyDescent="0.2">
      <c r="A11" s="1" t="s">
        <v>13</v>
      </c>
      <c r="B11">
        <v>3.4</v>
      </c>
      <c r="C11">
        <v>0.7</v>
      </c>
      <c r="D11">
        <f t="shared" si="0"/>
        <v>2574.9695999999999</v>
      </c>
      <c r="E11">
        <v>3.1</v>
      </c>
      <c r="F11">
        <v>0.30000000000000032</v>
      </c>
      <c r="G11">
        <f t="shared" si="1"/>
        <v>12821.980266666638</v>
      </c>
      <c r="H11">
        <v>3.6</v>
      </c>
      <c r="I11">
        <v>0.30000000000000032</v>
      </c>
      <c r="J11">
        <f t="shared" si="2"/>
        <v>14813.209599999971</v>
      </c>
      <c r="K11">
        <v>2.7</v>
      </c>
      <c r="L11">
        <v>0.30000000000000032</v>
      </c>
      <c r="M11">
        <f t="shared" si="3"/>
        <v>0.51961524227066369</v>
      </c>
      <c r="N11">
        <v>3.400358730406301</v>
      </c>
    </row>
    <row r="12" spans="1:14" x14ac:dyDescent="0.2">
      <c r="A12" s="1" t="s">
        <v>14</v>
      </c>
      <c r="B12">
        <v>12</v>
      </c>
      <c r="C12">
        <v>1.1000000000000001</v>
      </c>
      <c r="D12">
        <f t="shared" si="0"/>
        <v>3352.6690909090903</v>
      </c>
      <c r="E12">
        <v>14.2</v>
      </c>
      <c r="F12">
        <v>1.1000000000000001</v>
      </c>
      <c r="G12">
        <f>(E12/100)*(1-E12/100)/((F12/100)/1.96)^2</f>
        <v>3868.1419636363621</v>
      </c>
      <c r="H12">
        <v>14.2</v>
      </c>
      <c r="I12">
        <v>1.5</v>
      </c>
      <c r="J12">
        <f t="shared" si="2"/>
        <v>2080.200789333333</v>
      </c>
      <c r="K12">
        <v>12.8</v>
      </c>
      <c r="L12">
        <v>1.5</v>
      </c>
      <c r="M12">
        <f t="shared" si="3"/>
        <v>2.3895606290697042</v>
      </c>
      <c r="N12">
        <v>14.2</v>
      </c>
    </row>
    <row r="14" spans="1:14" x14ac:dyDescent="0.2">
      <c r="A14" t="s">
        <v>15</v>
      </c>
    </row>
    <row r="15" spans="1:14" x14ac:dyDescent="0.2">
      <c r="A15" s="1"/>
      <c r="B15" s="6" t="s">
        <v>1</v>
      </c>
      <c r="C15" s="7"/>
      <c r="D15" s="3"/>
      <c r="E15" s="6" t="s">
        <v>2</v>
      </c>
      <c r="F15" s="7"/>
      <c r="G15" s="3"/>
      <c r="H15" s="6" t="s">
        <v>3</v>
      </c>
      <c r="I15" s="7"/>
      <c r="J15" s="3"/>
      <c r="K15" s="6" t="s">
        <v>4</v>
      </c>
      <c r="L15" s="7"/>
    </row>
    <row r="16" spans="1:14" x14ac:dyDescent="0.2">
      <c r="A16" s="1"/>
      <c r="B16" s="1" t="s">
        <v>5</v>
      </c>
      <c r="C16" s="1" t="s">
        <v>6</v>
      </c>
      <c r="D16" s="2"/>
      <c r="E16" s="1" t="s">
        <v>5</v>
      </c>
      <c r="F16" s="1" t="s">
        <v>6</v>
      </c>
      <c r="G16" s="2"/>
      <c r="H16" s="1" t="s">
        <v>5</v>
      </c>
      <c r="I16" s="1" t="s">
        <v>6</v>
      </c>
      <c r="J16" s="2"/>
      <c r="K16" s="1" t="s">
        <v>5</v>
      </c>
      <c r="L16" s="1" t="s">
        <v>6</v>
      </c>
      <c r="M16" s="5" t="s">
        <v>29</v>
      </c>
      <c r="N16" s="5" t="s">
        <v>30</v>
      </c>
    </row>
    <row r="18" spans="1:14" x14ac:dyDescent="0.2">
      <c r="A18" s="1" t="s">
        <v>16</v>
      </c>
      <c r="B18">
        <v>10.4</v>
      </c>
      <c r="C18">
        <v>0.1</v>
      </c>
      <c r="E18">
        <v>19.100000000000001</v>
      </c>
      <c r="F18">
        <v>6.7</v>
      </c>
      <c r="G18">
        <f>(E18/100)*(1-E18/100)/((F18/100)/1.96)^2</f>
        <v>132.23439304967698</v>
      </c>
      <c r="H18">
        <v>11.1</v>
      </c>
      <c r="I18">
        <v>5.0999999999999996</v>
      </c>
      <c r="K18">
        <v>13.4</v>
      </c>
      <c r="L18">
        <v>5.2</v>
      </c>
      <c r="M18">
        <f>SQRT(F18^2+I18^2+L18^2)</f>
        <v>9.8964640149904053</v>
      </c>
    </row>
    <row r="19" spans="1:14" x14ac:dyDescent="0.2">
      <c r="A19" s="1" t="s">
        <v>17</v>
      </c>
      <c r="B19">
        <v>4.9000000000000004</v>
      </c>
      <c r="C19">
        <v>0.1</v>
      </c>
      <c r="E19">
        <v>0</v>
      </c>
      <c r="F19">
        <v>1.2</v>
      </c>
      <c r="G19">
        <f t="shared" ref="G19:G20" si="4">(E19/100)*(1-E19/100)/((F19/100)/1.96)^2</f>
        <v>0</v>
      </c>
      <c r="H19">
        <v>0.6</v>
      </c>
      <c r="I19">
        <v>0.9</v>
      </c>
      <c r="K19">
        <v>0.5</v>
      </c>
      <c r="L19">
        <v>0.9</v>
      </c>
      <c r="M19">
        <f t="shared" ref="M19:M20" si="5">SQRT(F19^2+I19^2+L19^2)</f>
        <v>1.7492855684535902</v>
      </c>
    </row>
    <row r="20" spans="1:14" x14ac:dyDescent="0.2">
      <c r="A20" s="1" t="s">
        <v>18</v>
      </c>
      <c r="B20">
        <v>0.9</v>
      </c>
      <c r="C20">
        <v>0.1</v>
      </c>
      <c r="E20">
        <v>0</v>
      </c>
      <c r="F20">
        <v>1.2</v>
      </c>
      <c r="G20">
        <f t="shared" si="4"/>
        <v>0</v>
      </c>
      <c r="H20">
        <v>0</v>
      </c>
      <c r="I20">
        <v>0.9</v>
      </c>
      <c r="K20">
        <v>0</v>
      </c>
      <c r="L20">
        <v>1.2</v>
      </c>
      <c r="M20">
        <f t="shared" si="5"/>
        <v>1.9209372712298547</v>
      </c>
    </row>
    <row r="22" spans="1:14" x14ac:dyDescent="0.2">
      <c r="A22" t="s">
        <v>19</v>
      </c>
    </row>
    <row r="23" spans="1:14" x14ac:dyDescent="0.2">
      <c r="A23" s="1"/>
      <c r="B23" s="6" t="s">
        <v>1</v>
      </c>
      <c r="C23" s="7"/>
      <c r="D23" s="3"/>
      <c r="E23" s="6" t="s">
        <v>2</v>
      </c>
      <c r="F23" s="7"/>
      <c r="G23" s="3"/>
      <c r="H23" s="6" t="s">
        <v>3</v>
      </c>
      <c r="I23" s="7"/>
      <c r="J23" s="3"/>
      <c r="K23" s="6" t="s">
        <v>4</v>
      </c>
      <c r="L23" s="7"/>
      <c r="M23" t="s">
        <v>28</v>
      </c>
      <c r="N23" t="s">
        <v>28</v>
      </c>
    </row>
    <row r="24" spans="1:14" x14ac:dyDescent="0.2">
      <c r="A24" s="1"/>
      <c r="B24" s="1" t="s">
        <v>5</v>
      </c>
      <c r="C24" s="1" t="s">
        <v>6</v>
      </c>
      <c r="D24" s="2"/>
      <c r="E24" s="1" t="s">
        <v>5</v>
      </c>
      <c r="F24" s="1" t="s">
        <v>6</v>
      </c>
      <c r="G24" s="2"/>
      <c r="H24" s="1" t="s">
        <v>5</v>
      </c>
      <c r="I24" s="1" t="s">
        <v>6</v>
      </c>
      <c r="J24" s="2"/>
      <c r="K24" s="1" t="s">
        <v>5</v>
      </c>
      <c r="L24" s="1" t="s">
        <v>6</v>
      </c>
      <c r="M24" s="5" t="s">
        <v>29</v>
      </c>
      <c r="N24" s="5" t="s">
        <v>30</v>
      </c>
    </row>
    <row r="26" spans="1:14" x14ac:dyDescent="0.2">
      <c r="A26" s="1" t="s">
        <v>20</v>
      </c>
      <c r="B26">
        <v>81215</v>
      </c>
      <c r="C26">
        <v>429</v>
      </c>
      <c r="E26">
        <v>75449</v>
      </c>
      <c r="F26">
        <v>11437</v>
      </c>
      <c r="H26">
        <v>69844</v>
      </c>
      <c r="I26">
        <v>15751</v>
      </c>
      <c r="K26">
        <v>80350</v>
      </c>
      <c r="L26">
        <v>14555</v>
      </c>
    </row>
    <row r="27" spans="1:14" x14ac:dyDescent="0.2">
      <c r="A27" s="1" t="s">
        <v>26</v>
      </c>
      <c r="B27">
        <v>10.3</v>
      </c>
      <c r="C27">
        <v>0.2</v>
      </c>
      <c r="D27">
        <f>(B27/100)*(1-B27/100)/((C27/100)/1.96)^2</f>
        <v>88732.316399999996</v>
      </c>
      <c r="E27">
        <v>6.4</v>
      </c>
      <c r="F27">
        <v>3.7</v>
      </c>
      <c r="G27">
        <f>(E27/100)*(1-E27/100)/((F27/100)/1.96)^2</f>
        <v>168.09876289262226</v>
      </c>
      <c r="H27">
        <v>8.9</v>
      </c>
      <c r="I27">
        <v>3.8</v>
      </c>
      <c r="J27">
        <f>(H27/100)*(1-H27/100)/((I27/100)/1.96)^2</f>
        <v>215.70158337950141</v>
      </c>
      <c r="K27">
        <v>5</v>
      </c>
      <c r="L27">
        <v>3.8</v>
      </c>
      <c r="M27">
        <f>SQRT(F27^2+I27^2+L27^2)</f>
        <v>6.5245689512794636</v>
      </c>
      <c r="N27">
        <v>7.8686076894363559</v>
      </c>
    </row>
    <row r="28" spans="1:14" x14ac:dyDescent="0.2">
      <c r="A28" s="1" t="s">
        <v>21</v>
      </c>
      <c r="B28">
        <v>4.8</v>
      </c>
      <c r="C28">
        <v>0.1</v>
      </c>
      <c r="D28">
        <f t="shared" ref="D28:D31" si="6">(B28/100)*(1-B28/100)/((C28/100)/1.96)^2</f>
        <v>175545.75359999997</v>
      </c>
      <c r="E28">
        <v>1.9</v>
      </c>
      <c r="F28">
        <v>2.5</v>
      </c>
      <c r="G28">
        <f t="shared" ref="G28:G31" si="7">(E28/100)*(1-E28/100)/((F28/100)/1.96)^2</f>
        <v>114.56573183999998</v>
      </c>
      <c r="H28">
        <v>8</v>
      </c>
      <c r="I28">
        <v>3.8</v>
      </c>
      <c r="J28">
        <f t="shared" ref="J28:J31" si="8">(H28/100)*(1-H28/100)/((I28/100)/1.96)^2</f>
        <v>195.80454293628807</v>
      </c>
      <c r="K28">
        <v>3.1</v>
      </c>
      <c r="L28">
        <v>1.9</v>
      </c>
      <c r="M28">
        <f>SQRT(F28^2+I28^2+L28^2)</f>
        <v>4.9295030175464944</v>
      </c>
      <c r="N28">
        <v>5.6097560975609762</v>
      </c>
    </row>
    <row r="29" spans="1:14" x14ac:dyDescent="0.2">
      <c r="A29" s="1" t="s">
        <v>22</v>
      </c>
      <c r="B29">
        <v>51.3</v>
      </c>
      <c r="C29" s="4">
        <v>0.3</v>
      </c>
      <c r="E29">
        <v>32.5</v>
      </c>
      <c r="F29" s="4">
        <v>12.6</v>
      </c>
      <c r="H29">
        <v>31.6</v>
      </c>
      <c r="I29" s="4">
        <v>8.6</v>
      </c>
      <c r="K29">
        <v>48.5</v>
      </c>
      <c r="L29" s="4">
        <v>12</v>
      </c>
    </row>
    <row r="30" spans="1:14" x14ac:dyDescent="0.2">
      <c r="A30" s="1" t="s">
        <v>23</v>
      </c>
      <c r="B30">
        <v>21.92545623689066</v>
      </c>
      <c r="C30" s="4">
        <v>100.0011341800011</v>
      </c>
      <c r="E30">
        <v>30.850316233309911</v>
      </c>
      <c r="F30" s="4">
        <v>14.342629482071709</v>
      </c>
      <c r="H30">
        <v>70.990625791740555</v>
      </c>
      <c r="I30" s="4">
        <v>10.989010989010991</v>
      </c>
      <c r="K30">
        <v>17.952549971978328</v>
      </c>
      <c r="L30" s="4">
        <v>17.097415506958249</v>
      </c>
    </row>
    <row r="31" spans="1:14" x14ac:dyDescent="0.2">
      <c r="A31" s="1" t="s">
        <v>24</v>
      </c>
      <c r="B31">
        <v>5.8</v>
      </c>
      <c r="C31">
        <v>0.1</v>
      </c>
      <c r="D31">
        <f t="shared" si="6"/>
        <v>209889.65759999992</v>
      </c>
      <c r="E31">
        <v>4.7</v>
      </c>
      <c r="F31">
        <v>4.4000000000000004</v>
      </c>
      <c r="G31">
        <f t="shared" si="7"/>
        <v>88.878670247933854</v>
      </c>
      <c r="H31">
        <v>6.4</v>
      </c>
      <c r="I31">
        <v>4.3</v>
      </c>
      <c r="J31">
        <f t="shared" si="8"/>
        <v>124.46036041103299</v>
      </c>
      <c r="K31">
        <v>0.8</v>
      </c>
      <c r="L31">
        <v>1.3</v>
      </c>
      <c r="M31">
        <f t="shared" ref="M31" si="9">SQRT(F31^2+I31^2+L31^2)</f>
        <v>6.2880839689049957</v>
      </c>
      <c r="N31">
        <v>5.6846473029045654</v>
      </c>
    </row>
    <row r="32" spans="1:14" x14ac:dyDescent="0.2">
      <c r="A32" s="1" t="s">
        <v>25</v>
      </c>
      <c r="B32">
        <v>46.683767766255187</v>
      </c>
      <c r="C32" s="4">
        <v>173.9130434782609</v>
      </c>
      <c r="E32">
        <v>49.044585987261136</v>
      </c>
      <c r="F32" s="4">
        <v>119.4285714285714</v>
      </c>
      <c r="H32">
        <v>73.695198329853866</v>
      </c>
      <c r="I32" s="4">
        <v>252.19512195121951</v>
      </c>
      <c r="K32">
        <v>74.342105263157904</v>
      </c>
      <c r="L32" s="4">
        <v>163.38028169014089</v>
      </c>
    </row>
  </sheetData>
  <mergeCells count="12">
    <mergeCell ref="B23:C23"/>
    <mergeCell ref="E23:F23"/>
    <mergeCell ref="H23:I23"/>
    <mergeCell ref="K23:L23"/>
    <mergeCell ref="B2:C2"/>
    <mergeCell ref="E2:F2"/>
    <mergeCell ref="H2:I2"/>
    <mergeCell ref="K2:L2"/>
    <mergeCell ref="B15:C15"/>
    <mergeCell ref="E15:F15"/>
    <mergeCell ref="H15:I15"/>
    <mergeCell ref="K15:L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3338-F69D-5C41-B296-C2358F9AA6AF}">
  <dimension ref="A1:K8"/>
  <sheetViews>
    <sheetView tabSelected="1" workbookViewId="0">
      <selection activeCell="F10" sqref="F10"/>
    </sheetView>
  </sheetViews>
  <sheetFormatPr baseColWidth="10" defaultRowHeight="15" x14ac:dyDescent="0.2"/>
  <sheetData>
    <row r="1" spans="1:11" x14ac:dyDescent="0.2">
      <c r="A1" t="s">
        <v>31</v>
      </c>
    </row>
    <row r="2" spans="1:11" x14ac:dyDescent="0.2">
      <c r="A2" t="s">
        <v>32</v>
      </c>
    </row>
    <row r="4" spans="1:11" x14ac:dyDescent="0.2">
      <c r="B4">
        <v>1</v>
      </c>
      <c r="C4" t="s">
        <v>37</v>
      </c>
      <c r="D4">
        <v>2</v>
      </c>
      <c r="E4" t="s">
        <v>38</v>
      </c>
      <c r="F4">
        <v>3</v>
      </c>
      <c r="G4" t="s">
        <v>39</v>
      </c>
      <c r="H4" t="s">
        <v>34</v>
      </c>
      <c r="I4" t="s">
        <v>40</v>
      </c>
      <c r="J4" t="s">
        <v>35</v>
      </c>
      <c r="K4" t="s">
        <v>41</v>
      </c>
    </row>
    <row r="5" spans="1:11" x14ac:dyDescent="0.2">
      <c r="A5" t="s">
        <v>33</v>
      </c>
      <c r="B5">
        <v>5692</v>
      </c>
      <c r="C5">
        <v>502</v>
      </c>
      <c r="D5">
        <v>7703</v>
      </c>
      <c r="E5">
        <v>544</v>
      </c>
      <c r="F5">
        <v>5329</v>
      </c>
      <c r="G5">
        <v>503</v>
      </c>
      <c r="H5">
        <v>18724</v>
      </c>
      <c r="I5">
        <f>SQRT(C5^2+E5^2+G5^2)</f>
        <v>894.957540892304</v>
      </c>
      <c r="J5">
        <v>6615375</v>
      </c>
      <c r="K5">
        <v>1265</v>
      </c>
    </row>
    <row r="6" spans="1:11" x14ac:dyDescent="0.2">
      <c r="A6" t="s">
        <v>36</v>
      </c>
      <c r="B6">
        <v>365</v>
      </c>
      <c r="C6">
        <v>208</v>
      </c>
      <c r="D6">
        <v>689</v>
      </c>
      <c r="E6">
        <v>310</v>
      </c>
      <c r="F6">
        <v>266</v>
      </c>
      <c r="G6">
        <v>201</v>
      </c>
      <c r="H6">
        <v>1320</v>
      </c>
      <c r="I6">
        <f>SQRT(C6^2+E6^2+G6^2)</f>
        <v>423.98702810345509</v>
      </c>
      <c r="J6">
        <v>680962</v>
      </c>
      <c r="K6">
        <v>10241</v>
      </c>
    </row>
    <row r="8" spans="1:11" x14ac:dyDescent="0.2">
      <c r="A8" t="s">
        <v>42</v>
      </c>
      <c r="B8">
        <f>B6/B5</f>
        <v>6.4125087842586082E-2</v>
      </c>
      <c r="C8">
        <f>SQRT(C6^2+((B8/100)^2*C5^2))/B5</f>
        <v>3.6542559574445077E-2</v>
      </c>
      <c r="D8">
        <f t="shared" ref="D8:G8" si="0">D6/D5</f>
        <v>8.9445670517980011E-2</v>
      </c>
      <c r="E8">
        <f t="shared" ref="E8" si="1">SQRT(E6^2+((D8/100)^2*E5^2))/D5</f>
        <v>4.0244110330763222E-2</v>
      </c>
      <c r="F8">
        <f t="shared" ref="F8:G8" si="2">F6/F5</f>
        <v>4.9915556389566525E-2</v>
      </c>
      <c r="G8">
        <f t="shared" ref="G8" si="3">SQRT(G6^2+((F8/100)^2*G5^2))/F5</f>
        <v>3.7718175419933497E-2</v>
      </c>
      <c r="H8">
        <f>H6/H5*100</f>
        <v>7.0497756889553509</v>
      </c>
      <c r="I8">
        <f>SQRT(I6^2+((H8/100)^2*I5^2))/H5</f>
        <v>2.2893379977598678E-2</v>
      </c>
      <c r="J8">
        <f>J6/J5</f>
        <v>0.10293626589573532</v>
      </c>
      <c r="K8">
        <f>SQRT(K6^2+((J8/100)^2*K5^2))/J5</f>
        <v>1.548060402136512E-3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HealthScore 2.0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Emily Fang</cp:lastModifiedBy>
  <dcterms:created xsi:type="dcterms:W3CDTF">2021-01-20T15:54:40Z</dcterms:created>
  <dcterms:modified xsi:type="dcterms:W3CDTF">2021-02-06T01:24:30Z</dcterms:modified>
</cp:coreProperties>
</file>